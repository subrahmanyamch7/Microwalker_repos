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sub\Desktop\walkers data\"/>
    </mc:Choice>
  </mc:AlternateContent>
  <xr:revisionPtr revIDLastSave="0" documentId="13_ncr:1_{BA2D0B40-6D3C-47F5-8170-35ED03AEC980}" xr6:coauthVersionLast="47" xr6:coauthVersionMax="47" xr10:uidLastSave="{00000000-0000-0000-0000-000000000000}"/>
  <bookViews>
    <workbookView xWindow="-38510" yWindow="-7180" windowWidth="38620" windowHeight="21100" xr2:uid="{F1DB67ED-A7B3-4FFA-850A-3AEEA3F6CD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2" i="1"/>
  <c r="G2" i="1" s="1"/>
  <c r="E4" i="1"/>
  <c r="E5" i="1"/>
  <c r="E6" i="1"/>
  <c r="E7" i="1"/>
  <c r="E8" i="1"/>
  <c r="E9" i="1"/>
  <c r="E10" i="1"/>
  <c r="E3" i="1"/>
  <c r="E2" i="1"/>
</calcChain>
</file>

<file path=xl/sharedStrings.xml><?xml version="1.0" encoding="utf-8"?>
<sst xmlns="http://schemas.openxmlformats.org/spreadsheetml/2006/main" count="7" uniqueCount="7">
  <si>
    <t>Voltage</t>
  </si>
  <si>
    <t>Speed</t>
  </si>
  <si>
    <t>Trail 1</t>
  </si>
  <si>
    <t>Trail 2</t>
  </si>
  <si>
    <t>Trail 3</t>
  </si>
  <si>
    <t>Standard error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</si>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</sst>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58129494168258"/>
          <c:y val="0.10608821074785006"/>
          <c:w val="0.86235201664880634"/>
          <c:h val="0.82724174110863791"/>
        </c:manualLayout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Speed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Sheet1!$G$2:$G$10</c:f>
                <c:numCache>
                  <c:formatCode>General</c:formatCode>
                  <c:ptCount val="9"/>
                  <c:pt idx="0">
                    <c:v>22.931508301085984</c:v>
                  </c:pt>
                  <c:pt idx="1">
                    <c:v>29.397390917436795</c:v>
                  </c:pt>
                  <c:pt idx="2">
                    <c:v>13.516705394527616</c:v>
                  </c:pt>
                  <c:pt idx="3">
                    <c:v>11.506749591737362</c:v>
                  </c:pt>
                  <c:pt idx="4">
                    <c:v>19.708509261869871</c:v>
                  </c:pt>
                  <c:pt idx="5">
                    <c:v>6.6759816391813365</c:v>
                  </c:pt>
                  <c:pt idx="6">
                    <c:v>33.534157000525397</c:v>
                  </c:pt>
                  <c:pt idx="7">
                    <c:v>12.035125759431534</c:v>
                  </c:pt>
                  <c:pt idx="8">
                    <c:v>40.588703705431847</c:v>
                  </c:pt>
                </c:numCache>
              </c:numRef>
            </c:plus>
            <c:minus>
              <c:numRef>
                <c:f>Sheet1!$G$2:$G$10</c:f>
                <c:numCache>
                  <c:formatCode>General</c:formatCode>
                  <c:ptCount val="9"/>
                  <c:pt idx="0">
                    <c:v>22.931508301085984</c:v>
                  </c:pt>
                  <c:pt idx="1">
                    <c:v>29.397390917436795</c:v>
                  </c:pt>
                  <c:pt idx="2">
                    <c:v>13.516705394527616</c:v>
                  </c:pt>
                  <c:pt idx="3">
                    <c:v>11.506749591737362</c:v>
                  </c:pt>
                  <c:pt idx="4">
                    <c:v>19.708509261869871</c:v>
                  </c:pt>
                  <c:pt idx="5">
                    <c:v>6.6759816391813365</c:v>
                  </c:pt>
                  <c:pt idx="6">
                    <c:v>33.534157000525397</c:v>
                  </c:pt>
                  <c:pt idx="7">
                    <c:v>12.035125759431534</c:v>
                  </c:pt>
                  <c:pt idx="8">
                    <c:v>40.588703705431847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Sheet1!$A$2:$A$10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Sheet1!$E$2:$E$10</c:f>
              <c:numCache>
                <c:formatCode>General</c:formatCode>
                <c:ptCount val="9"/>
                <c:pt idx="0">
                  <c:v>77.384702026502296</c:v>
                </c:pt>
                <c:pt idx="1">
                  <c:v>86.594741543550072</c:v>
                </c:pt>
                <c:pt idx="2">
                  <c:v>115.83288990037333</c:v>
                </c:pt>
                <c:pt idx="3">
                  <c:v>110.00896106639611</c:v>
                </c:pt>
                <c:pt idx="4">
                  <c:v>115.23847634458393</c:v>
                </c:pt>
                <c:pt idx="5">
                  <c:v>110.5617941980946</c:v>
                </c:pt>
                <c:pt idx="6">
                  <c:v>126.34971079607185</c:v>
                </c:pt>
                <c:pt idx="7">
                  <c:v>95.942938822517547</c:v>
                </c:pt>
                <c:pt idx="8">
                  <c:v>159.45967497060585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9-4998-988B-3E1E6FECF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9951711"/>
        <c:axId val="1829961791"/>
      </c:lineChart>
      <c:catAx>
        <c:axId val="182995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Voltage</a:t>
                </a:r>
                <a:r>
                  <a:rPr lang="en-US" sz="20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[V]</a:t>
                </a:r>
                <a:endParaRPr lang="en-US" sz="2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9961791"/>
        <c:crosses val="autoZero"/>
        <c:auto val="1"/>
        <c:lblAlgn val="ctr"/>
        <c:lblOffset val="100"/>
        <c:noMultiLvlLbl val="0"/>
      </c:catAx>
      <c:valAx>
        <c:axId val="182996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Speed</a:t>
                </a:r>
                <a:r>
                  <a:rPr lang="en-US" sz="2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[um/s]</a:t>
                </a:r>
                <a:endParaRPr lang="en-US" sz="20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995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0144356955381"/>
          <c:y val="0.16708333333333336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Sheet1!$A$2:$A$23</c:f>
              <c:numCache>
                <c:formatCode>General</c:formatCode>
                <c:ptCount val="22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Sheet1!$E$2:$E$23</c:f>
              <c:numCache>
                <c:formatCode>General</c:formatCode>
                <c:ptCount val="22"/>
                <c:pt idx="0">
                  <c:v>77.384702026502296</c:v>
                </c:pt>
                <c:pt idx="1">
                  <c:v>86.594741543550072</c:v>
                </c:pt>
                <c:pt idx="2">
                  <c:v>115.83288990037333</c:v>
                </c:pt>
                <c:pt idx="3">
                  <c:v>110.00896106639611</c:v>
                </c:pt>
                <c:pt idx="4">
                  <c:v>115.23847634458393</c:v>
                </c:pt>
                <c:pt idx="5">
                  <c:v>110.5617941980946</c:v>
                </c:pt>
                <c:pt idx="6">
                  <c:v>126.34971079607185</c:v>
                </c:pt>
                <c:pt idx="7">
                  <c:v>95.942938822517547</c:v>
                </c:pt>
                <c:pt idx="8">
                  <c:v>159.45967497060585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B-4685-86AA-AC00E58B7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003071"/>
        <c:axId val="1830004991"/>
      </c:barChart>
      <c:catAx>
        <c:axId val="183000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04991"/>
        <c:crosses val="autoZero"/>
        <c:auto val="1"/>
        <c:lblAlgn val="ctr"/>
        <c:lblOffset val="100"/>
        <c:noMultiLvlLbl val="0"/>
      </c:catAx>
      <c:valAx>
        <c:axId val="183000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0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282575</xdr:colOff>
      <xdr:row>26</xdr:row>
      <xdr:rowOff>88900</xdr:rowOff>
    </xdr:from>
    <xdr:to>
      <xdr:col>13</xdr:col>
      <xdr:colOff>431800</xdr:colOff>
      <xdr:row>45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0675A-1BFC-7CF4-D7DD-53BD1D8D5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111124</xdr:colOff>
      <xdr:row>26</xdr:row>
      <xdr:rowOff>146050</xdr:rowOff>
    </xdr:from>
    <xdr:to>
      <xdr:col>26</xdr:col>
      <xdr:colOff>19049</xdr:colOff>
      <xdr:row>45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80C6B5-5904-6050-270E-2BFF7F8B4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2DAF-16B8-4527-87E9-F03DCDA84A4F}">
  <dimension ref="A1:G10"/>
  <sheetViews>
    <sheetView tabSelected="1" workbookViewId="0">
      <selection activeCell="Q14" sqref="Q14"/>
    </sheetView>
  </sheetViews>
  <sheetFormatPr defaultRowHeight="14.5" x14ac:dyDescent="0.35"/>
  <sheetData>
    <row r="1" spans="1:7" x14ac:dyDescent="0.3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6</v>
      </c>
      <c r="G1" t="s">
        <v>5</v>
      </c>
    </row>
    <row r="2" spans="1:7" x14ac:dyDescent="0.35">
      <c r="A2">
        <v>12</v>
      </c>
      <c r="B2">
        <v>34.65457005325117</v>
      </c>
      <c r="C2">
        <v>113.17766061910932</v>
      </c>
      <c r="D2">
        <v>84.321875407146408</v>
      </c>
      <c r="E2">
        <f>AVERAGE(B2:D2)</f>
        <v>77.384702026502296</v>
      </c>
      <c r="F2">
        <f>_xlfn.STDEV.S(B2:D2)</f>
        <v>39.718537471668391</v>
      </c>
      <c r="G2">
        <f>F2/SQRT(3)</f>
        <v>22.931508301085984</v>
      </c>
    </row>
    <row r="3" spans="1:7" x14ac:dyDescent="0.35">
      <c r="A3">
        <v>13</v>
      </c>
      <c r="B3">
        <v>35.813948289892174</v>
      </c>
      <c r="C3">
        <v>137.64840093361167</v>
      </c>
      <c r="D3">
        <v>86.321875407146393</v>
      </c>
      <c r="E3">
        <f>AVERAGE(B3:D3)</f>
        <v>86.594741543550072</v>
      </c>
      <c r="F3">
        <f>_xlfn.STDEV.S(B3:D3)</f>
        <v>50.917774678964378</v>
      </c>
      <c r="G3">
        <f t="shared" ref="G3:G10" si="0">F3/SQRT(3)</f>
        <v>29.397390917436795</v>
      </c>
    </row>
    <row r="4" spans="1:7" x14ac:dyDescent="0.35">
      <c r="A4">
        <v>14</v>
      </c>
      <c r="B4">
        <v>88.840170013646102</v>
      </c>
      <c r="C4">
        <v>130.61329774193641</v>
      </c>
      <c r="D4">
        <v>128.04520194553746</v>
      </c>
      <c r="E4">
        <f t="shared" ref="E4:E10" si="1">AVERAGE(B4:D4)</f>
        <v>115.83288990037333</v>
      </c>
      <c r="F4">
        <f>_xlfn.STDEV.S(B4:D4)</f>
        <v>23.411620494262156</v>
      </c>
      <c r="G4">
        <f t="shared" si="0"/>
        <v>13.516705394527616</v>
      </c>
    </row>
    <row r="5" spans="1:7" x14ac:dyDescent="0.35">
      <c r="A5">
        <v>15</v>
      </c>
      <c r="B5">
        <v>87.175563110821997</v>
      </c>
      <c r="C5">
        <v>118.93712395792075</v>
      </c>
      <c r="D5">
        <v>123.9141961304456</v>
      </c>
      <c r="E5">
        <f t="shared" si="1"/>
        <v>110.00896106639611</v>
      </c>
      <c r="F5">
        <f>_xlfn.STDEV.S(B5:D5)</f>
        <v>19.930274922861546</v>
      </c>
      <c r="G5">
        <f t="shared" si="0"/>
        <v>11.506749591737362</v>
      </c>
    </row>
    <row r="6" spans="1:7" x14ac:dyDescent="0.35">
      <c r="A6">
        <v>16</v>
      </c>
      <c r="B6">
        <v>84.197400669383754</v>
      </c>
      <c r="C6">
        <v>151.79742495083539</v>
      </c>
      <c r="D6">
        <v>109.72060341353261</v>
      </c>
      <c r="E6">
        <f t="shared" si="1"/>
        <v>115.23847634458393</v>
      </c>
      <c r="F6">
        <f>_xlfn.STDEV.S(B6:D6)</f>
        <v>34.136139383000405</v>
      </c>
      <c r="G6">
        <f t="shared" si="0"/>
        <v>19.708509261869871</v>
      </c>
    </row>
    <row r="7" spans="1:7" x14ac:dyDescent="0.35">
      <c r="A7">
        <v>17</v>
      </c>
      <c r="B7">
        <v>123.90538904046502</v>
      </c>
      <c r="C7">
        <v>103.48066799456204</v>
      </c>
      <c r="D7">
        <v>104.29932555925673</v>
      </c>
      <c r="E7">
        <f t="shared" si="1"/>
        <v>110.5617941980946</v>
      </c>
      <c r="F7">
        <f>_xlfn.STDEV.S(B7:D7)</f>
        <v>11.56313938945903</v>
      </c>
      <c r="G7">
        <f t="shared" si="0"/>
        <v>6.6759816391813365</v>
      </c>
    </row>
    <row r="8" spans="1:7" x14ac:dyDescent="0.35">
      <c r="A8">
        <v>18</v>
      </c>
      <c r="B8">
        <v>59.442086537103329</v>
      </c>
      <c r="C8">
        <v>155.7852622044015</v>
      </c>
      <c r="D8">
        <v>163.82178364671071</v>
      </c>
      <c r="E8">
        <f t="shared" si="1"/>
        <v>126.34971079607185</v>
      </c>
      <c r="F8">
        <f>_xlfn.STDEV.S(B8:D8)</f>
        <v>58.082863713901531</v>
      </c>
      <c r="G8">
        <f t="shared" si="0"/>
        <v>33.534157000525397</v>
      </c>
    </row>
    <row r="9" spans="1:7" x14ac:dyDescent="0.35">
      <c r="A9">
        <v>19</v>
      </c>
      <c r="B9">
        <v>119.65669600522951</v>
      </c>
      <c r="C9">
        <v>87.660419802543899</v>
      </c>
      <c r="D9">
        <v>80.511700659779237</v>
      </c>
      <c r="E9">
        <f t="shared" si="1"/>
        <v>95.942938822517547</v>
      </c>
      <c r="F9">
        <f>_xlfn.STDEV.S(B9:D9)</f>
        <v>20.845449290816383</v>
      </c>
      <c r="G9">
        <f t="shared" si="0"/>
        <v>12.035125759431534</v>
      </c>
    </row>
    <row r="10" spans="1:7" x14ac:dyDescent="0.35">
      <c r="A10">
        <v>20</v>
      </c>
      <c r="B10">
        <v>103.84038019355285</v>
      </c>
      <c r="C10">
        <v>238.47673531701835</v>
      </c>
      <c r="D10">
        <v>136.06190940124634</v>
      </c>
      <c r="E10">
        <f t="shared" si="1"/>
        <v>159.45967497060585</v>
      </c>
      <c r="F10">
        <f>_xlfn.STDEV.S(B10:D10)</f>
        <v>70.301697031167109</v>
      </c>
      <c r="G10">
        <f t="shared" si="0"/>
        <v>40.588703705431847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Subrahmanyam Cherukumilli</dc:creator>
  <cp:lastModifiedBy>Subrahmanyam Cherukumilli</cp:lastModifiedBy>
  <cp:lastPrinted>2025-08-26T20:49:16Z</cp:lastPrinted>
  <dcterms:created xsi:type="dcterms:W3CDTF">2025-08-21T03:09:53Z</dcterms:created>
  <dcterms:modified xsi:type="dcterms:W3CDTF">2025-11-07T16:45:40Z</dcterms:modified>
</cp:coreProperties>
</file>