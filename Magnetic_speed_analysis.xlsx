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sub\Desktop\walkers data\"/>
    </mc:Choice>
  </mc:AlternateContent>
  <xr:revisionPtr revIDLastSave="0" documentId="8_{715AD7DE-4364-4717-A9F5-5D95A37EB977}" xr6:coauthVersionLast="47" xr6:coauthVersionMax="47" xr10:uidLastSave="{00000000-0000-0000-0000-000000000000}"/>
  <bookViews>
    <workbookView xWindow="-38510" yWindow="-7180" windowWidth="38620" windowHeight="21100" tabRatio="173" xr2:uid="{88F8472E-D6EB-4332-BAEA-0EA5909E0C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G6" i="1" s="1"/>
  <c r="F7" i="1"/>
  <c r="F8" i="1"/>
  <c r="F9" i="1"/>
  <c r="F10" i="1"/>
  <c r="F11" i="1"/>
  <c r="F2" i="1"/>
  <c r="G2" i="1" s="1"/>
  <c r="G3" i="1"/>
  <c r="G4" i="1"/>
  <c r="G5" i="1"/>
  <c r="G7" i="1"/>
  <c r="G8" i="1"/>
  <c r="G9" i="1"/>
  <c r="G10" i="1"/>
  <c r="G11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<sst xmlns="http://schemas.openxmlformats.org/spreadsheetml/2006/main" count="7" uniqueCount="7">
  <si>
    <t>Frequency</t>
  </si>
  <si>
    <t>Speed</t>
  </si>
  <si>
    <t>Trail 1</t>
  </si>
  <si>
    <t>Trail 2</t>
  </si>
  <si>
    <t>Trail 3</t>
  </si>
  <si>
    <t>Standard deviation</t>
  </si>
  <si>
    <t>Standard errorbars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</si>
</sst>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608413282797405E-2"/>
          <c:y val="0.15117711400105593"/>
          <c:w val="0.79712866959869566"/>
          <c:h val="0.7245631529682287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Sheet1!$G$2:$G$11</c:f>
                <c:numCache>
                  <c:formatCode>General</c:formatCode>
                  <c:ptCount val="10"/>
                  <c:pt idx="0">
                    <c:v>2.6975975519555542</c:v>
                  </c:pt>
                  <c:pt idx="1">
                    <c:v>2.2020498774502881</c:v>
                  </c:pt>
                  <c:pt idx="2">
                    <c:v>6.6732878965555766</c:v>
                  </c:pt>
                  <c:pt idx="3">
                    <c:v>7.7219639011955552</c:v>
                  </c:pt>
                  <c:pt idx="4">
                    <c:v>8.3968801342027444</c:v>
                  </c:pt>
                  <c:pt idx="5">
                    <c:v>2.3406489089932365</c:v>
                  </c:pt>
                  <c:pt idx="6">
                    <c:v>5.6929846244662157</c:v>
                  </c:pt>
                  <c:pt idx="7">
                    <c:v>6.3761892113948555</c:v>
                  </c:pt>
                  <c:pt idx="8">
                    <c:v>9.215352262144016</c:v>
                  </c:pt>
                  <c:pt idx="9">
                    <c:v>6.0004098856143466</c:v>
                  </c:pt>
                </c:numCache>
              </c:numRef>
            </c:plus>
            <c:minus>
              <c:numRef>
                <c:f>Sheet1!$G$2:$G$11</c:f>
                <c:numCache>
                  <c:formatCode>General</c:formatCode>
                  <c:ptCount val="10"/>
                  <c:pt idx="0">
                    <c:v>2.6975975519555542</c:v>
                  </c:pt>
                  <c:pt idx="1">
                    <c:v>2.2020498774502881</c:v>
                  </c:pt>
                  <c:pt idx="2">
                    <c:v>6.6732878965555766</c:v>
                  </c:pt>
                  <c:pt idx="3">
                    <c:v>7.7219639011955552</c:v>
                  </c:pt>
                  <c:pt idx="4">
                    <c:v>8.3968801342027444</c:v>
                  </c:pt>
                  <c:pt idx="5">
                    <c:v>2.3406489089932365</c:v>
                  </c:pt>
                  <c:pt idx="6">
                    <c:v>5.6929846244662157</c:v>
                  </c:pt>
                  <c:pt idx="7">
                    <c:v>6.3761892113948555</c:v>
                  </c:pt>
                  <c:pt idx="8">
                    <c:v>9.215352262144016</c:v>
                  </c:pt>
                  <c:pt idx="9">
                    <c:v>6.0004098856143466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Sheet1!$E$2:$E$11</c:f>
              <c:numCache>
                <c:formatCode>General</c:formatCode>
                <c:ptCount val="10"/>
                <c:pt idx="0">
                  <c:v>15.813405021139312</c:v>
                </c:pt>
                <c:pt idx="1">
                  <c:v>20.918525950469114</c:v>
                </c:pt>
                <c:pt idx="2">
                  <c:v>24.02477172083907</c:v>
                </c:pt>
                <c:pt idx="3">
                  <c:v>24.99406081121769</c:v>
                </c:pt>
                <c:pt idx="4">
                  <c:v>30.87503384589537</c:v>
                </c:pt>
                <c:pt idx="5">
                  <c:v>26.228952281545912</c:v>
                </c:pt>
                <c:pt idx="6">
                  <c:v>31.84215452092894</c:v>
                </c:pt>
                <c:pt idx="7">
                  <c:v>33.321686396439155</c:v>
                </c:pt>
                <c:pt idx="8">
                  <c:v>42.016238664050242</c:v>
                </c:pt>
                <c:pt idx="9">
                  <c:v>40.352346438679476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D-4F16-9810-8AEFE4EA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376608"/>
        <c:axId val="1024386208"/>
      </c:scatterChart>
      <c:valAx>
        <c:axId val="102437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Frequency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4386208"/>
        <c:crosses val="autoZero"/>
        <c:crossBetween val="midCat"/>
        <c:majorUnit val="2"/>
      </c:valAx>
      <c:valAx>
        <c:axId val="102438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Speed [um/s]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437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19</xdr:row>
      <xdr:rowOff>171450</xdr:rowOff>
    </xdr:from>
    <xdr:to>
      <xdr:col>17</xdr:col>
      <xdr:colOff>384907</xdr:colOff>
      <xdr:row>43</xdr:row>
      <xdr:rowOff>53241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C7CF2-0F85-87E2-1FB8-313F9AFD3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F22A-379F-4AA4-B24C-58CF2B8E3E07}">
  <dimension ref="A1:G11"/>
  <sheetViews>
    <sheetView tabSelected="1" zoomScaleNormal="100" workbookViewId="0">
      <selection activeCell="M14" sqref="M14"/>
    </sheetView>
  </sheetViews>
  <sheetFormatPr defaultRowHeight="14.5" x14ac:dyDescent="0.35"/>
  <sheetData>
    <row r="1" spans="1:7" x14ac:dyDescent="0.3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6</v>
      </c>
    </row>
    <row r="2" spans="1:7" x14ac:dyDescent="0.35">
      <c r="A2">
        <v>2</v>
      </c>
      <c r="B2">
        <v>14.138175286872986</v>
      </c>
      <c r="C2">
        <v>21.092450025066515</v>
      </c>
      <c r="D2">
        <v>12.209589751478434</v>
      </c>
      <c r="E2">
        <f>AVERAGE(B2:D2)</f>
        <v>15.813405021139312</v>
      </c>
      <c r="F2">
        <f>_xlfn.STDEV.S(B2:D2)</f>
        <v>4.6723760183604437</v>
      </c>
      <c r="G2">
        <f>F2/SQRT(3)</f>
        <v>2.6975975519555542</v>
      </c>
    </row>
    <row r="3" spans="1:7" x14ac:dyDescent="0.35">
      <c r="A3">
        <v>4</v>
      </c>
      <c r="B3">
        <v>23.40521772541031</v>
      </c>
      <c r="C3">
        <v>22.823091116485628</v>
      </c>
      <c r="D3">
        <v>16.527269009511397</v>
      </c>
      <c r="E3">
        <f t="shared" ref="E3:E11" si="0">AVERAGE(B3:D3)</f>
        <v>20.918525950469114</v>
      </c>
      <c r="F3">
        <f>_xlfn.STDEV.S(B3:D3)</f>
        <v>3.8140622685447187</v>
      </c>
      <c r="G3">
        <f t="shared" ref="G3:G11" si="1">F3/SQRT(3)</f>
        <v>2.2020498774502881</v>
      </c>
    </row>
    <row r="4" spans="1:7" x14ac:dyDescent="0.35">
      <c r="A4">
        <v>6</v>
      </c>
      <c r="B4">
        <v>25.652899999999999</v>
      </c>
      <c r="C4">
        <v>34.682857021572431</v>
      </c>
      <c r="D4">
        <v>11.738558140944775</v>
      </c>
      <c r="E4">
        <f t="shared" si="0"/>
        <v>24.02477172083907</v>
      </c>
      <c r="F4">
        <f>_xlfn.STDEV.S(B4:D4)</f>
        <v>11.5584736903687</v>
      </c>
      <c r="G4">
        <f t="shared" si="1"/>
        <v>6.6732878965555766</v>
      </c>
    </row>
    <row r="5" spans="1:7" x14ac:dyDescent="0.35">
      <c r="A5">
        <v>8</v>
      </c>
      <c r="B5">
        <v>19.768017489153259</v>
      </c>
      <c r="C5">
        <v>40.192889274796613</v>
      </c>
      <c r="D5">
        <v>15.021275669703188</v>
      </c>
      <c r="E5">
        <f t="shared" si="0"/>
        <v>24.99406081121769</v>
      </c>
      <c r="F5">
        <f>_xlfn.STDEV.S(B5:D5)</f>
        <v>13.374833811083478</v>
      </c>
      <c r="G5">
        <f t="shared" si="1"/>
        <v>7.7219639011955552</v>
      </c>
    </row>
    <row r="6" spans="1:7" x14ac:dyDescent="0.35">
      <c r="A6">
        <v>10</v>
      </c>
      <c r="B6">
        <v>22.92135835959829</v>
      </c>
      <c r="C6">
        <v>47.661128892202193</v>
      </c>
      <c r="D6">
        <v>22.042614285885616</v>
      </c>
      <c r="E6">
        <f t="shared" si="0"/>
        <v>30.87503384589537</v>
      </c>
      <c r="F6">
        <f>_xlfn.STDEV.S(B6:D6)</f>
        <v>14.543823017504925</v>
      </c>
      <c r="G6">
        <f t="shared" si="1"/>
        <v>8.3968801342027444</v>
      </c>
    </row>
    <row r="7" spans="1:7" x14ac:dyDescent="0.35">
      <c r="A7">
        <v>12</v>
      </c>
      <c r="B7">
        <v>24.75081957940229</v>
      </c>
      <c r="C7">
        <v>30.814738629141271</v>
      </c>
      <c r="D7">
        <v>23.12129863609416</v>
      </c>
      <c r="E7">
        <f t="shared" si="0"/>
        <v>26.228952281545912</v>
      </c>
      <c r="F7">
        <f>_xlfn.STDEV.S(B7:D7)</f>
        <v>4.0541228330569465</v>
      </c>
      <c r="G7">
        <f t="shared" si="1"/>
        <v>2.3406489089932365</v>
      </c>
    </row>
    <row r="8" spans="1:7" x14ac:dyDescent="0.35">
      <c r="A8">
        <v>14</v>
      </c>
      <c r="B8">
        <v>29.87597052250328</v>
      </c>
      <c r="C8">
        <v>42.537651586163122</v>
      </c>
      <c r="D8">
        <v>23.112841454120417</v>
      </c>
      <c r="E8">
        <f t="shared" si="0"/>
        <v>31.84215452092894</v>
      </c>
      <c r="F8">
        <f>_xlfn.STDEV.S(B8:D8)</f>
        <v>9.8605386162839093</v>
      </c>
      <c r="G8">
        <f t="shared" si="1"/>
        <v>5.6929846244662157</v>
      </c>
    </row>
    <row r="9" spans="1:7" x14ac:dyDescent="0.35">
      <c r="A9">
        <v>16</v>
      </c>
      <c r="B9">
        <v>31.32806814581695</v>
      </c>
      <c r="C9">
        <v>45.226587989345781</v>
      </c>
      <c r="D9">
        <v>23.410403054154738</v>
      </c>
      <c r="E9">
        <f t="shared" si="0"/>
        <v>33.321686396439155</v>
      </c>
      <c r="F9">
        <f>_xlfn.STDEV.S(B9:D9)</f>
        <v>11.043883672808422</v>
      </c>
      <c r="G9">
        <f t="shared" si="1"/>
        <v>6.3761892113948555</v>
      </c>
    </row>
    <row r="10" spans="1:7" x14ac:dyDescent="0.35">
      <c r="A10">
        <v>18</v>
      </c>
      <c r="B10">
        <v>57.788664325456317</v>
      </c>
      <c r="C10">
        <v>42.387815701875759</v>
      </c>
      <c r="D10">
        <v>25.872235964818639</v>
      </c>
      <c r="E10">
        <f t="shared" si="0"/>
        <v>42.016238664050242</v>
      </c>
      <c r="F10">
        <f>_xlfn.STDEV.S(B10:D10)</f>
        <v>15.961458327678223</v>
      </c>
      <c r="G10">
        <f t="shared" si="1"/>
        <v>9.215352262144016</v>
      </c>
    </row>
    <row r="11" spans="1:7" x14ac:dyDescent="0.35">
      <c r="A11">
        <v>20</v>
      </c>
      <c r="B11">
        <v>43.162360609987722</v>
      </c>
      <c r="C11">
        <v>49.051428706050707</v>
      </c>
      <c r="D11">
        <v>28.843250000000001</v>
      </c>
      <c r="E11">
        <f t="shared" si="0"/>
        <v>40.352346438679476</v>
      </c>
      <c r="F11">
        <f>_xlfn.STDEV.S(B11:D11)</f>
        <v>10.393014788122603</v>
      </c>
      <c r="G11">
        <f t="shared" si="1"/>
        <v>6.0004098856143466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Subrahmanyam Cherukumilli</dc:creator>
  <cp:lastModifiedBy>Subrahmanyam Cherukumilli</cp:lastModifiedBy>
  <cp:lastPrinted>2025-08-26T20:49:37Z</cp:lastPrinted>
  <dcterms:created xsi:type="dcterms:W3CDTF">2025-08-19T01:07:11Z</dcterms:created>
  <dcterms:modified xsi:type="dcterms:W3CDTF">2025-11-07T16:45:27Z</dcterms:modified>
</cp:coreProperties>
</file>